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899b8aebb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ión paquete" sheetId="1" r:id="R91312249e3a74dc0"/>
    <x:sheet xmlns:r="http://schemas.openxmlformats.org/officeDocument/2006/relationships" name="Instrucciones" sheetId="2" r:id="R6baab1f48cde4eef"/>
  </x:sheets>
</x:workbook>
</file>

<file path=xl/comments1.xml><?xml version="1.0" encoding="utf-8"?>
<x:comments xmlns:x="http://schemas.openxmlformats.org/spreadsheetml/2006/main">
  <x:authors>
    <x:author>tc={D7D5A6B5-B743-4545-15A5-B066C75ACF29}</x:author>
  </x:authors>
  <x:commentList>
    <x:comment ref="T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Este estado es una validación operativa. La importación local vuelve a validar SKU, unidades, ceros, límites, conflictos y evidencia.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@"/>
    <x:numFmt numFmtId="202" formatCode="0.0"/>
    <x:numFmt numFmtId="203" formatCode="0"/>
    <x:numFmt numFmtId="204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6"/>
      <x:color rgb="FFFFFFFF"/>
      <x:name val="Carlito"/>
    </x:font>
    <x:font>
      <x:b/>
      <x:sz val="11"/>
      <x:color rgb="FF163A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2A"/>
      </x:patternFill>
    </x:fill>
    <x:fill>
      <x:patternFill patternType="solid">
        <x:fgColor rgb="FFF3F7F4"/>
      </x:patternFill>
    </x:fill>
    <x:fill>
      <x:patternFill patternType="solid">
        <x:fgColor rgb="FFFFF9E8"/>
      </x:patternFill>
    </x:fill>
    <x:fill>
      <x:patternFill patternType="solid">
        <x:fgColor rgb="FFEEF2F0"/>
      </x:patternFill>
    </x:fill>
    <x:fill>
      <x:patternFill patternType="solid">
        <x:fgColor rgb="FFE8F0EB"/>
      </x:patternFill>
    </x:fill>
  </x:fills>
  <x:borders count="16">
    <x:border/>
    <x:border>
      <x:right style="thin">
        <x:color rgb="FFE5EAE7"/>
      </x:right>
      <x:bottom style="thin">
        <x:color rgb="FFE5EAE7"/>
      </x:bottom>
    </x:border>
    <x:border>
      <x:left style="thin">
        <x:color rgb="FFE5EAE7"/>
      </x:left>
      <x:right style="thin">
        <x:color rgb="FFE5EAE7"/>
      </x:right>
      <x:bottom style="thin">
        <x:color rgb="FFE5EAE7"/>
      </x:bottom>
    </x:border>
    <x:border>
      <x:left style="thin">
        <x:color rgb="FFE5EAE7"/>
      </x:left>
      <x:bottom style="thin">
        <x:color rgb="FFE5EAE7"/>
      </x:bottom>
    </x:border>
    <x:border>
      <x:right style="thin">
        <x:color rgb="FFE5EAE7"/>
      </x:right>
      <x:top style="thin">
        <x:color rgb="FFE5EAE7"/>
      </x:top>
      <x:bottom style="thin">
        <x:color rgb="FFE5EAE7"/>
      </x:bottom>
    </x:border>
    <x:border>
      <x:left style="thin">
        <x:color rgb="FFE5EAE7"/>
      </x:left>
      <x:right style="thin">
        <x:color rgb="FFE5EAE7"/>
      </x:right>
      <x:top style="thin">
        <x:color rgb="FFE5EAE7"/>
      </x:top>
      <x:bottom style="thin">
        <x:color rgb="FFE5EAE7"/>
      </x:bottom>
    </x:border>
    <x:border>
      <x:left style="thin">
        <x:color rgb="FFE5EAE7"/>
      </x:left>
      <x:top style="thin">
        <x:color rgb="FFE5EAE7"/>
      </x:top>
      <x:bottom style="thin">
        <x:color rgb="FFE5EAE7"/>
      </x:bottom>
    </x:border>
    <x:border>
      <x:right style="thin">
        <x:color rgb="FFE5EAE7"/>
      </x:right>
      <x:top style="thin">
        <x:color rgb="FFE5EAE7"/>
      </x:top>
    </x:border>
    <x:border>
      <x:left style="thin">
        <x:color rgb="FFE5EAE7"/>
      </x:left>
      <x:right style="thin">
        <x:color rgb="FFE5EAE7"/>
      </x:right>
      <x:top style="thin">
        <x:color rgb="FFE5EAE7"/>
      </x:top>
    </x:border>
    <x:border>
      <x:left style="thin">
        <x:color rgb="FFE5EAE7"/>
      </x:left>
      <x:top style="thin">
        <x:color rgb="FFE5EAE7"/>
      </x:top>
    </x:border>
    <x:border>
      <x:right style="thin">
        <x:color rgb="FFD9E1DC"/>
      </x:right>
      <x:bottom style="thin">
        <x:color rgb="FFD9E1DC"/>
      </x:bottom>
    </x:border>
    <x:border>
      <x:left style="thin">
        <x:color rgb="FFD9E1DC"/>
      </x:left>
      <x:bottom style="thin">
        <x:color rgb="FFD9E1DC"/>
      </x:bottom>
    </x:border>
    <x:border>
      <x:right style="thin">
        <x:color rgb="FFD9E1DC"/>
      </x:right>
      <x:top style="thin">
        <x:color rgb="FFD9E1DC"/>
      </x:top>
      <x:bottom style="thin">
        <x:color rgb="FFD9E1DC"/>
      </x:bottom>
    </x:border>
    <x:border>
      <x:left style="thin">
        <x:color rgb="FFD9E1DC"/>
      </x:left>
      <x:top style="thin">
        <x:color rgb="FFD9E1DC"/>
      </x:top>
      <x:bottom style="thin">
        <x:color rgb="FFD9E1DC"/>
      </x:bottom>
    </x:border>
    <x:border>
      <x:right style="thin">
        <x:color rgb="FFD9E1DC"/>
      </x:right>
      <x:top style="thin">
        <x:color rgb="FFD9E1DC"/>
      </x:top>
    </x:border>
    <x:border>
      <x:left style="thin">
        <x:color rgb="FFD9E1DC"/>
      </x:left>
      <x:top style="thin">
        <x:color rgb="FFD9E1DC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3" fillId="5" borderId="6" xfId="0" applyNumberFormat="1" applyFont="1" applyFill="1" applyBorder="1"/>
    <x:xf numFmtId="0" fontId="3" fillId="5" borderId="9" xfId="0" applyNumberFormat="1" applyFont="1" applyFill="1" applyBorder="1"/>
    <x:xf numFmtId="200" fontId="3" fillId="4" borderId="5" xfId="0" applyNumberFormat="1" applyFont="1" applyFill="1" applyBorder="1"/>
    <x:xf numFmtId="200" fontId="3" fillId="4" borderId="8" xfId="0" applyNumberFormat="1" applyFont="1" applyFill="1" applyBorder="1"/>
    <x:xf numFmtId="201" fontId="3" fillId="3" borderId="5" xfId="0" applyNumberFormat="1" applyFont="1" applyFill="1" applyBorder="1"/>
    <x:xf numFmtId="201" fontId="3" fillId="3" borderId="8" xfId="0" applyNumberFormat="1" applyFont="1" applyFill="1" applyBorder="1"/>
    <x:xf numFmtId="202" fontId="3" fillId="4" borderId="5" xfId="0" applyNumberFormat="1" applyFont="1" applyFill="1" applyBorder="1"/>
    <x:xf numFmtId="202" fontId="3" fillId="4" borderId="8" xfId="0" applyNumberFormat="1" applyFont="1" applyFill="1" applyBorder="1"/>
    <x:xf numFmtId="203" fontId="3" fillId="4" borderId="5" xfId="0" applyNumberFormat="1" applyFont="1" applyFill="1" applyBorder="1"/>
    <x:xf numFmtId="203" fontId="3" fillId="4" borderId="8" xfId="0" applyNumberFormat="1" applyFont="1" applyFill="1" applyBorder="1"/>
    <x:xf numFmtId="204" fontId="3" fillId="4" borderId="5" xfId="0" applyNumberFormat="1" applyFont="1" applyFill="1" applyBorder="1"/>
    <x:xf numFmtId="204" fontId="3" fillId="4" borderId="8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201" fontId="3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200" fontId="3" fillId="4" borderId="5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202" fontId="3" fillId="4" borderId="5" xfId="0" applyNumberFormat="1" applyFont="1" applyFill="1" applyBorder="1" applyAlignment="1">
      <x:alignment vertical="center"/>
    </x:xf>
    <x:xf numFmtId="203" fontId="3" fillId="4" borderId="5" xfId="0" applyNumberFormat="1" applyFont="1" applyFill="1" applyBorder="1" applyAlignment="1">
      <x:alignment vertical="center"/>
    </x:xf>
    <x:xf numFmtId="204" fontId="3" fillId="4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201" fontId="3" fillId="3" borderId="8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200" fontId="3" fillId="4" borderId="8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202" fontId="3" fillId="4" borderId="8" xfId="0" applyNumberFormat="1" applyFont="1" applyFill="1" applyBorder="1" applyAlignment="1">
      <x:alignment vertical="center"/>
    </x:xf>
    <x:xf numFmtId="203" fontId="3" fillId="4" borderId="8" xfId="0" applyNumberFormat="1" applyFont="1" applyFill="1" applyBorder="1" applyAlignment="1">
      <x:alignment vertical="center"/>
    </x:xf>
    <x:xf numFmtId="204" fontId="3" fillId="4" borderId="8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613A"/>
      </x:font>
      <x:fill>
        <x:patternFill patternType="solid">
          <x:bgColor rgb="FFDDF5E6"/>
        </x:patternFill>
      </x:fill>
    </x:dxf>
    <x:dxf>
      <x:font>
        <x:b/>
        <x:color rgb="FF9B341F"/>
      </x:font>
      <x:fill>
        <x:patternFill patternType="solid">
          <x:bgColor rgb="FFFFE3D8"/>
        </x:patternFill>
      </x:fill>
    </x:dxf>
    <x:dxf>
      <x:font>
        <x:color rgb="FF59645E"/>
      </x:font>
      <x:fill>
        <x:patternFill patternType="solid">
          <x:bgColor rgb="FFF1F3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8dd474b774bdb" /><Relationship Type="http://schemas.openxmlformats.org/officeDocument/2006/relationships/theme" Target="/xl/theme/theme1.xml" Id="R13c6d13851764661" /><Relationship Type="http://schemas.openxmlformats.org/officeDocument/2006/relationships/sharedStrings" Target="/xl/sharedStrings.xml" Id="R3f0c0456da9d45b9" /><Relationship Type="http://schemas.openxmlformats.org/officeDocument/2006/relationships/worksheet" Target="/xl/worksheets/sheet1.xml" Id="R91312249e3a74dc0" /><Relationship Type="http://schemas.openxmlformats.org/officeDocument/2006/relationships/worksheet" Target="/xl/worksheets/sheet2.xml" Id="R6baab1f48cde4eef" /><Relationship Type="http://schemas.microsoft.com/office/2017/10/relationships/person" Target="/xl/persons/person.xml" Id="R3a6821c6154b43f1" /></Relationships>
</file>

<file path=xl/persons/person.xml><?xml version="1.0" encoding="utf-8"?>
<xltc:personList xmlns:xltc="http://schemas.microsoft.com/office/spreadsheetml/2018/threadedcomments">
  <xltc:person displayName="Mauricio Pérez" id="{1D12583F-7108-4071-A0EA-D88FC91C4335}"/>
</xltc:personList>
</file>

<file path=xl/tables/table1.xml><?xml version="1.0" encoding="utf-8"?>
<x:table xmlns:x="http://schemas.openxmlformats.org/spreadsheetml/2006/main" id="1" name="MedicionPaqueteBaru" displayName="MedicionPaqueteBaru" ref="A1:T26" headerRowCount="1" totalsRowCount="0" totalsRowShown="0">
  <x:autoFilter ref="A1:T26"/>
  <x:tableColumns count="20">
    <x:tableColumn id="1" name="Orden"/>
    <x:tableColumn id="2" name="SKU"/>
    <x:tableColumn id="3" name="GTIN"/>
    <x:tableColumn id="4" name="Descripción"/>
    <x:tableColumn id="5" name="Imagen / referencia"/>
    <x:tableColumn id="6" name="Proveedor"/>
    <x:tableColumn id="7" name="Peso empacado"/>
    <x:tableColumn id="8" name="Unidad peso"/>
    <x:tableColumn id="9" name="Largo paquete"/>
    <x:tableColumn id="10" name="Ancho paquete"/>
    <x:tableColumn id="11" name="Alto paquete"/>
    <x:tableColumn id="12" name="Unidad dimensiones"/>
    <x:tableColumn id="13" name="Cantidad bultos"/>
    <x:tableColumn id="14" name="Fecha verificación"/>
    <x:tableColumn id="15" name="Responsable"/>
    <x:tableColumn id="16" name="Tipo de fuente"/>
    <x:tableColumn id="17" name="Fuente / referencia"/>
    <x:tableColumn id="18" name="Evidencia / foto (URL)"/>
    <x:tableColumn id="19" name="Observaciones"/>
    <x:tableColumn id="20" name="Estado de fil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T1" dT="2026-08-25T13:41:10.786" personId="{1D12583F-7108-4071-A0EA-D88FC91C4335}" id="{D7D5A6B5-B743-4545-15A5-B066C75ACF29}">
    <xltc:text>Este estado es una validación operativa. La importación local vuelve a validar SKU, unidades, ceros, límites, conflictos y evidencia.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91010e1a846433a" /><Relationship Type="http://schemas.openxmlformats.org/officeDocument/2006/relationships/vmlDrawing" Target="/xl/drawings/vmldrawing.vml" Id="Rf7c0fb6d4d024ec2" /><Relationship Type="http://schemas.microsoft.com/office/2017/10/relationships/threadedComment" Target="/xl/threadedcomments/threadedcomment.xml" Id="Rbd3eca75b86549e9" /><Relationship Type="http://schemas.openxmlformats.org/officeDocument/2006/relationships/table" Target="/xl/tables/table1.xml" Id="R10d5a46985d6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7" hidden="0" customWidth="1"/>
    <x:col min="4" max="4" width="44" hidden="0" customWidth="1"/>
    <x:col min="5" max="5" width="28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7" hidden="0" customWidth="1"/>
    <x:col min="13" max="13" width="14" hidden="0" customWidth="1"/>
    <x:col min="14" max="14" width="17" hidden="0" customWidth="1"/>
    <x:col min="15" max="15" width="20" hidden="0" customWidth="1"/>
    <x:col min="16" max="16" width="22" hidden="0" customWidth="1"/>
    <x:col min="17" max="17" width="28" hidden="0" customWidth="1"/>
    <x:col min="18" max="18" width="28" hidden="0" customWidth="1"/>
    <x:col min="19" max="19" width="28" hidden="0" customWidth="1"/>
    <x:col min="20" max="20" width="24" hidden="0" customWidth="1"/>
  </x:cols>
  <x:sheetData>
    <x:row r="1" ht="34" customHeight="1">
      <x:c r="A1" s="7" t="str">
        <x:v>Orden</x:v>
      </x:c>
      <x:c r="B1" s="8" t="str">
        <x:v>SKU</x:v>
      </x:c>
      <x:c r="C1" s="8" t="str">
        <x:v>GTIN</x:v>
      </x:c>
      <x:c r="D1" s="8" t="str">
        <x:v>Descripción</x:v>
      </x:c>
      <x:c r="E1" s="8" t="str">
        <x:v>Imagen / referencia</x:v>
      </x:c>
      <x:c r="F1" s="8" t="str">
        <x:v>Proveedor</x:v>
      </x:c>
      <x:c r="G1" s="8" t="str">
        <x:v>Peso empacado</x:v>
      </x:c>
      <x:c r="H1" s="8" t="str">
        <x:v>Unidad peso</x:v>
      </x:c>
      <x:c r="I1" s="8" t="str">
        <x:v>Largo paquete</x:v>
      </x:c>
      <x:c r="J1" s="8" t="str">
        <x:v>Ancho paquete</x:v>
      </x:c>
      <x:c r="K1" s="8" t="str">
        <x:v>Alto paquete</x:v>
      </x:c>
      <x:c r="L1" s="8" t="str">
        <x:v>Unidad dimensiones</x:v>
      </x:c>
      <x:c r="M1" s="8" t="str">
        <x:v>Cantidad bultos</x:v>
      </x:c>
      <x:c r="N1" s="8" t="str">
        <x:v>Fecha verificación</x:v>
      </x:c>
      <x:c r="O1" s="8" t="str">
        <x:v>Responsable</x:v>
      </x:c>
      <x:c r="P1" s="8" t="str">
        <x:v>Tipo de fuente</x:v>
      </x:c>
      <x:c r="Q1" s="8" t="str">
        <x:v>Fuente / referencia</x:v>
      </x:c>
      <x:c r="R1" s="8" t="str">
        <x:v>Evidencia / foto (URL)</x:v>
      </x:c>
      <x:c r="S1" s="8" t="str">
        <x:v>Observaciones</x:v>
      </x:c>
      <x:c r="T1" s="9" t="str">
        <x:v>Estado de fila</x:v>
      </x:c>
    </x:row>
    <x:row r="2" ht="30" customHeight="1">
      <x:c r="A2" s="34" t="n">
        <x:v>1</x:v>
      </x:c>
      <x:c r="B2" s="35" t="str">
        <x:v>SKU: 9514B-E-103</x:v>
      </x:c>
      <x:c r="C2" s="35" t="str">
        <x:v>GTIN: 7709254448462</x:v>
      </x:c>
      <x:c r="D2" s="52" t="str">
        <x:v>Lavamanos Redondo Oro Rosa de Sobreponer 36,5 × 36,5 × 12,5 cm</x:v>
      </x:c>
      <x:c r="E2" s="52" t="str">
        <x:v>GTIN 7709254448462 · SKU 9514B-E-103</x:v>
      </x:c>
      <x:c r="F2" s="36" t="str">
        <x:v>Barú</x:v>
      </x:c>
      <x:c r="G2" s="37"/>
      <x:c r="H2" s="38"/>
      <x:c r="I2" s="39"/>
      <x:c r="J2" s="39"/>
      <x:c r="K2" s="39"/>
      <x:c r="L2" s="38"/>
      <x:c r="M2" s="40"/>
      <x:c r="N2" s="41"/>
      <x:c r="O2" s="38"/>
      <x:c r="P2" s="38"/>
      <x:c r="Q2" s="54"/>
      <x:c r="R2" s="54"/>
      <x:c r="S2" s="54"/>
      <x:c r="T2" s="42" t="str">
        <x:f>IF(COUNTA(G2:S2)=0,"PENDIENTE",IF(OR(G2&lt;=0,I2&lt;=0,J2&lt;=0,K2&lt;=0,M2&lt;1,N2="",O2="",P2="",Q2="",H2="",L2=""),"INCOMPLETO","LISTO PARA VISTA PREVIA"))</x:f>
        <x:v>PENDIENTE</x:v>
      </x:c>
    </x:row>
    <x:row r="3" ht="30" customHeight="1">
      <x:c r="A3" s="34" t="n">
        <x:v>2</x:v>
      </x:c>
      <x:c r="B3" s="35" t="str">
        <x:v>SKU: 062</x:v>
      </x:c>
      <x:c r="C3" s="35" t="str">
        <x:v>GTIN: 7709060179239</x:v>
      </x:c>
      <x:c r="D3" s="52" t="str">
        <x:v>Lavamanos Redondo Café Rústico de Sobreponer 41 x 41 x 14 cm en Cerámica</x:v>
      </x:c>
      <x:c r="E3" s="52" t="str">
        <x:v>GTIN 7709060179239 · SKU 062</x:v>
      </x:c>
      <x:c r="F3" s="36" t="str">
        <x:v>Barú</x:v>
      </x:c>
      <x:c r="G3" s="37"/>
      <x:c r="H3" s="38"/>
      <x:c r="I3" s="39"/>
      <x:c r="J3" s="39"/>
      <x:c r="K3" s="39"/>
      <x:c r="L3" s="38"/>
      <x:c r="M3" s="40"/>
      <x:c r="N3" s="41"/>
      <x:c r="O3" s="38"/>
      <x:c r="P3" s="38"/>
      <x:c r="Q3" s="54"/>
      <x:c r="R3" s="54"/>
      <x:c r="S3" s="54"/>
      <x:c r="T3" s="42" t="str">
        <x:f>IF(COUNTA(G3:S3)=0,"PENDIENTE",IF(OR(G3&lt;=0,I3&lt;=0,J3&lt;=0,K3&lt;=0,M3&lt;1,N3="",O3="",P3="",Q3="",H3="",L3=""),"INCOMPLETO","LISTO PARA VISTA PREVIA"))</x:f>
        <x:v>PENDIENTE</x:v>
      </x:c>
    </x:row>
    <x:row r="4" ht="30" customHeight="1">
      <x:c r="A4" s="34" t="n">
        <x:v>3</x:v>
      </x:c>
      <x:c r="B4" s="35" t="str">
        <x:v>SKU: 0645-1</x:v>
      </x:c>
      <x:c r="C4" s="35" t="str">
        <x:v>GTIN: 7708929274191</x:v>
      </x:c>
      <x:c r="D4" s="52" t="str">
        <x:v>Lavamanos de Sobreponer Porcelana Arcat 46 x 46 x 17 cm Blanco con Vetas Doradas para Baño</x:v>
      </x:c>
      <x:c r="E4" s="52" t="str">
        <x:v>GTIN 7708929274191 · SKU 0645-1</x:v>
      </x:c>
      <x:c r="F4" s="36" t="str">
        <x:v>Barú</x:v>
      </x:c>
      <x:c r="G4" s="37"/>
      <x:c r="H4" s="38"/>
      <x:c r="I4" s="39"/>
      <x:c r="J4" s="39"/>
      <x:c r="K4" s="39"/>
      <x:c r="L4" s="38"/>
      <x:c r="M4" s="40"/>
      <x:c r="N4" s="41"/>
      <x:c r="O4" s="38"/>
      <x:c r="P4" s="38"/>
      <x:c r="Q4" s="54"/>
      <x:c r="R4" s="54"/>
      <x:c r="S4" s="54"/>
      <x:c r="T4" s="42" t="str">
        <x:f>IF(COUNTA(G4:S4)=0,"PENDIENTE",IF(OR(G4&lt;=0,I4&lt;=0,J4&lt;=0,K4&lt;=0,M4&lt;1,N4="",O4="",P4="",Q4="",H4="",L4=""),"INCOMPLETO","LISTO PARA VISTA PREVIA"))</x:f>
        <x:v>PENDIENTE</x:v>
      </x:c>
    </x:row>
    <x:row r="5" ht="30" customHeight="1">
      <x:c r="A5" s="34" t="n">
        <x:v>4</x:v>
      </x:c>
      <x:c r="B5" s="35" t="str">
        <x:v>SKU: 0652-2</x:v>
      </x:c>
      <x:c r="C5" s="35" t="str">
        <x:v>GTIN: 7708909258012</x:v>
      </x:c>
      <x:c r="D5" s="52" t="str">
        <x:v>Lavamanos Sobreponer Estadio Negro Mate Veteado 41 x 34 x 14.5 cm | Diseño Moderno Elegante</x:v>
      </x:c>
      <x:c r="E5" s="52" t="str">
        <x:v>GTIN 7708909258012 · SKU 0652-2</x:v>
      </x:c>
      <x:c r="F5" s="36" t="str">
        <x:v>Barú</x:v>
      </x:c>
      <x:c r="G5" s="37"/>
      <x:c r="H5" s="38"/>
      <x:c r="I5" s="39"/>
      <x:c r="J5" s="39"/>
      <x:c r="K5" s="39"/>
      <x:c r="L5" s="38"/>
      <x:c r="M5" s="40"/>
      <x:c r="N5" s="41"/>
      <x:c r="O5" s="38"/>
      <x:c r="P5" s="38"/>
      <x:c r="Q5" s="54"/>
      <x:c r="R5" s="54"/>
      <x:c r="S5" s="54"/>
      <x:c r="T5" s="42" t="str">
        <x:f>IF(COUNTA(G5:S5)=0,"PENDIENTE",IF(OR(G5&lt;=0,I5&lt;=0,J5&lt;=0,K5&lt;=0,M5&lt;1,N5="",O5="",P5="",Q5="",H5="",L5=""),"INCOMPLETO","LISTO PARA VISTA PREVIA"))</x:f>
        <x:v>PENDIENTE</x:v>
      </x:c>
    </x:row>
    <x:row r="6" ht="30" customHeight="1">
      <x:c r="A6" s="34" t="n">
        <x:v>5</x:v>
      </x:c>
      <x:c r="B6" s="35" t="str">
        <x:v>SKU: 0715A-1</x:v>
      </x:c>
      <x:c r="C6" s="35" t="str">
        <x:v>GTIN: 7709060179246</x:v>
      </x:c>
      <x:c r="D6" s="52" t="str">
        <x:v>Lavamanos Cantara 39 x 39 cm</x:v>
      </x:c>
      <x:c r="E6" s="52" t="str">
        <x:v>GTIN 7709060179246 · SKU 0715A-1</x:v>
      </x:c>
      <x:c r="F6" s="36" t="str">
        <x:v>Barú</x:v>
      </x:c>
      <x:c r="G6" s="37"/>
      <x:c r="H6" s="38"/>
      <x:c r="I6" s="39"/>
      <x:c r="J6" s="39"/>
      <x:c r="K6" s="39"/>
      <x:c r="L6" s="38"/>
      <x:c r="M6" s="40"/>
      <x:c r="N6" s="41"/>
      <x:c r="O6" s="38"/>
      <x:c r="P6" s="38"/>
      <x:c r="Q6" s="54"/>
      <x:c r="R6" s="54"/>
      <x:c r="S6" s="54"/>
      <x:c r="T6" s="42" t="str">
        <x:f>IF(COUNTA(G6:S6)=0,"PENDIENTE",IF(OR(G6&lt;=0,I6&lt;=0,J6&lt;=0,K6&lt;=0,M6&lt;1,N6="",O6="",P6="",Q6="",H6="",L6=""),"INCOMPLETO","LISTO PARA VISTA PREVIA"))</x:f>
        <x:v>PENDIENTE</x:v>
      </x:c>
    </x:row>
    <x:row r="7" ht="30" customHeight="1">
      <x:c r="A7" s="34" t="n">
        <x:v>6</x:v>
      </x:c>
      <x:c r="B7" s="35" t="str">
        <x:v>SKU: 1307</x:v>
      </x:c>
      <x:c r="C7" s="35" t="str">
        <x:v>GTIN: 7709414907884</x:v>
      </x:c>
      <x:c r="D7" s="52" t="str">
        <x:v>Monocontrol Ducha Orca Cuadrado Cromado 12 cm Empotrado para Baño</x:v>
      </x:c>
      <x:c r="E7" s="52" t="str">
        <x:v>GTIN 7709414907884 · SKU 1307</x:v>
      </x:c>
      <x:c r="F7" s="36" t="str">
        <x:v>Barú</x:v>
      </x:c>
      <x:c r="G7" s="37"/>
      <x:c r="H7" s="38"/>
      <x:c r="I7" s="39"/>
      <x:c r="J7" s="39"/>
      <x:c r="K7" s="39"/>
      <x:c r="L7" s="38"/>
      <x:c r="M7" s="40"/>
      <x:c r="N7" s="41"/>
      <x:c r="O7" s="38"/>
      <x:c r="P7" s="38"/>
      <x:c r="Q7" s="54"/>
      <x:c r="R7" s="54"/>
      <x:c r="S7" s="54"/>
      <x:c r="T7" s="42" t="str">
        <x:f>IF(COUNTA(G7:S7)=0,"PENDIENTE",IF(OR(G7&lt;=0,I7&lt;=0,J7&lt;=0,K7&lt;=0,M7&lt;1,N7="",O7="",P7="",Q7="",H7="",L7=""),"INCOMPLETO","LISTO PARA VISTA PREVIA"))</x:f>
        <x:v>PENDIENTE</x:v>
      </x:c>
    </x:row>
    <x:row r="8" ht="30" customHeight="1">
      <x:c r="A8" s="34" t="n">
        <x:v>7</x:v>
      </x:c>
      <x:c r="B8" s="35" t="str">
        <x:v>SKU: 1307B</x:v>
      </x:c>
      <x:c r="C8" s="35" t="str">
        <x:v>GTIN: 7709414907860</x:v>
      </x:c>
      <x:c r="D8" s="52" t="str">
        <x:v>Monocontrol Ducha Cuadrado Negro Mate 12 cm Empotrado para Baño</x:v>
      </x:c>
      <x:c r="E8" s="52" t="str">
        <x:v>GTIN 7709414907860 · SKU 1307B</x:v>
      </x:c>
      <x:c r="F8" s="36" t="str">
        <x:v>Barú</x:v>
      </x:c>
      <x:c r="G8" s="37"/>
      <x:c r="H8" s="38"/>
      <x:c r="I8" s="39"/>
      <x:c r="J8" s="39"/>
      <x:c r="K8" s="39"/>
      <x:c r="L8" s="38"/>
      <x:c r="M8" s="40"/>
      <x:c r="N8" s="41"/>
      <x:c r="O8" s="38"/>
      <x:c r="P8" s="38"/>
      <x:c r="Q8" s="54"/>
      <x:c r="R8" s="54"/>
      <x:c r="S8" s="54"/>
      <x:c r="T8" s="42" t="str">
        <x:f>IF(COUNTA(G8:S8)=0,"PENDIENTE",IF(OR(G8&lt;=0,I8&lt;=0,J8&lt;=0,K8&lt;=0,M8&lt;1,N8="",O8="",P8="",Q8="",H8="",L8=""),"INCOMPLETO","LISTO PARA VISTA PREVIA"))</x:f>
        <x:v>PENDIENTE</x:v>
      </x:c>
    </x:row>
    <x:row r="9" ht="30" customHeight="1">
      <x:c r="A9" s="34" t="n">
        <x:v>8</x:v>
      </x:c>
      <x:c r="B9" s="35" t="str">
        <x:v>SKU: 1307G</x:v>
      </x:c>
      <x:c r="C9" s="35" t="str">
        <x:v>GTIN: 7709414907891</x:v>
      </x:c>
      <x:c r="D9" s="52" t="str">
        <x:v>Monocontrol Ducha Cuadrado Oro 12 cm Empotrado para Baño</x:v>
      </x:c>
      <x:c r="E9" s="52" t="str">
        <x:v>GTIN 7709414907891 · SKU 1307G</x:v>
      </x:c>
      <x:c r="F9" s="36" t="str">
        <x:v>Barú</x:v>
      </x:c>
      <x:c r="G9" s="37"/>
      <x:c r="H9" s="38"/>
      <x:c r="I9" s="39"/>
      <x:c r="J9" s="39"/>
      <x:c r="K9" s="39"/>
      <x:c r="L9" s="38"/>
      <x:c r="M9" s="40"/>
      <x:c r="N9" s="41"/>
      <x:c r="O9" s="38"/>
      <x:c r="P9" s="38"/>
      <x:c r="Q9" s="54"/>
      <x:c r="R9" s="54"/>
      <x:c r="S9" s="54"/>
      <x:c r="T9" s="42" t="str">
        <x:f>IF(COUNTA(G9:S9)=0,"PENDIENTE",IF(OR(G9&lt;=0,I9&lt;=0,J9&lt;=0,K9&lt;=0,M9&lt;1,N9="",O9="",P9="",Q9="",H9="",L9=""),"INCOMPLETO","LISTO PARA VISTA PREVIA"))</x:f>
        <x:v>PENDIENTE</x:v>
      </x:c>
    </x:row>
    <x:row r="10" ht="30" customHeight="1">
      <x:c r="A10" s="34" t="n">
        <x:v>9</x:v>
      </x:c>
      <x:c r="B10" s="35" t="str">
        <x:v>SKU: 1307S</x:v>
      </x:c>
      <x:c r="C10" s="35" t="str">
        <x:v>GTIN: 7709414907808</x:v>
      </x:c>
      <x:c r="D10" s="52" t="str">
        <x:v>Monocontrol Ducha Cuadrado Satín 12 cm Empotrado para Baño</x:v>
      </x:c>
      <x:c r="E10" s="52" t="str">
        <x:v>GTIN 7709414907808 · SKU 1307S</x:v>
      </x:c>
      <x:c r="F10" s="36" t="str">
        <x:v>Barú</x:v>
      </x:c>
      <x:c r="G10" s="37"/>
      <x:c r="H10" s="38"/>
      <x:c r="I10" s="39"/>
      <x:c r="J10" s="39"/>
      <x:c r="K10" s="39"/>
      <x:c r="L10" s="38"/>
      <x:c r="M10" s="40"/>
      <x:c r="N10" s="41"/>
      <x:c r="O10" s="38"/>
      <x:c r="P10" s="38"/>
      <x:c r="Q10" s="54"/>
      <x:c r="R10" s="54"/>
      <x:c r="S10" s="54"/>
      <x:c r="T10" s="42" t="str">
        <x:f>IF(COUNTA(G10:S10)=0,"PENDIENTE",IF(OR(G10&lt;=0,I10&lt;=0,J10&lt;=0,K10&lt;=0,M10&lt;1,N10="",O10="",P10="",Q10="",H10="",L10=""),"INCOMPLETO","LISTO PARA VISTA PREVIA"))</x:f>
        <x:v>PENDIENTE</x:v>
      </x:c>
    </x:row>
    <x:row r="11" ht="30" customHeight="1">
      <x:c r="A11" s="34" t="n">
        <x:v>10</x:v>
      </x:c>
      <x:c r="B11" s="35" t="str">
        <x:v>SKU: 14</x:v>
      </x:c>
      <x:c r="C11" s="35" t="str">
        <x:v>GTIN: 7709366832357</x:v>
      </x:c>
      <x:c r="D11" s="52" t="str">
        <x:v>Lavamanos Redondo Loto Negro Brillante y Dorado 40 x 40 x 14 cm</x:v>
      </x:c>
      <x:c r="E11" s="52" t="str">
        <x:v>GTIN 7709366832357 · SKU 14</x:v>
      </x:c>
      <x:c r="F11" s="36" t="str">
        <x:v>Barú</x:v>
      </x:c>
      <x:c r="G11" s="37"/>
      <x:c r="H11" s="38"/>
      <x:c r="I11" s="39"/>
      <x:c r="J11" s="39"/>
      <x:c r="K11" s="39"/>
      <x:c r="L11" s="38"/>
      <x:c r="M11" s="40"/>
      <x:c r="N11" s="41"/>
      <x:c r="O11" s="38"/>
      <x:c r="P11" s="38"/>
      <x:c r="Q11" s="54"/>
      <x:c r="R11" s="54"/>
      <x:c r="S11" s="54"/>
      <x:c r="T11" s="42" t="str">
        <x:f>IF(COUNTA(G11:S11)=0,"PENDIENTE",IF(OR(G11&lt;=0,I11&lt;=0,J11&lt;=0,K11&lt;=0,M11&lt;1,N11="",O11="",P11="",Q11="",H11="",L11=""),"INCOMPLETO","LISTO PARA VISTA PREVIA"))</x:f>
        <x:v>PENDIENTE</x:v>
      </x:c>
    </x:row>
    <x:row r="12" ht="30" customHeight="1">
      <x:c r="A12" s="34" t="n">
        <x:v>11</x:v>
      </x:c>
      <x:c r="B12" s="35" t="str">
        <x:v>SKU: 1620214</x:v>
      </x:c>
      <x:c r="C12" s="35" t="str">
        <x:v>GTIN: 7709933813697</x:v>
      </x:c>
      <x:c r="D12" s="52" t="str">
        <x:v>Llave Lavamanos Alta Negra 30 cm Tipo Bowl Monocontrol | Grifería Moderna de Mesa en Latón</x:v>
      </x:c>
      <x:c r="E12" s="52" t="str">
        <x:v>GTIN 7709933813697 · SKU 1620214</x:v>
      </x:c>
      <x:c r="F12" s="36" t="str">
        <x:v>Barú</x:v>
      </x:c>
      <x:c r="G12" s="37"/>
      <x:c r="H12" s="38"/>
      <x:c r="I12" s="39"/>
      <x:c r="J12" s="39"/>
      <x:c r="K12" s="39"/>
      <x:c r="L12" s="38"/>
      <x:c r="M12" s="40"/>
      <x:c r="N12" s="41"/>
      <x:c r="O12" s="38"/>
      <x:c r="P12" s="38"/>
      <x:c r="Q12" s="54"/>
      <x:c r="R12" s="54"/>
      <x:c r="S12" s="54"/>
      <x:c r="T12" s="42" t="str">
        <x:f>IF(COUNTA(G12:S12)=0,"PENDIENTE",IF(OR(G12&lt;=0,I12&lt;=0,J12&lt;=0,K12&lt;=0,M12&lt;1,N12="",O12="",P12="",Q12="",H12="",L12=""),"INCOMPLETO","LISTO PARA VISTA PREVIA"))</x:f>
        <x:v>PENDIENTE</x:v>
      </x:c>
    </x:row>
    <x:row r="13" ht="30" customHeight="1">
      <x:c r="A13" s="34" t="n">
        <x:v>12</x:v>
      </x:c>
      <x:c r="B13" s="35" t="str">
        <x:v>SKU: 1707</x:v>
      </x:c>
      <x:c r="C13" s="35" t="str">
        <x:v>GTIN: 7709848508671</x:v>
      </x:c>
      <x:c r="D13" s="52" t="str">
        <x:v>Monocontrol Ducha Plano Cromado Empotrado Mezclador para Ducha con Control de Temperatura 18 x 12 cm</x:v>
      </x:c>
      <x:c r="E13" s="52" t="str">
        <x:v>GTIN 7709848508671 · SKU 1707</x:v>
      </x:c>
      <x:c r="F13" s="36" t="str">
        <x:v>Barú</x:v>
      </x:c>
      <x:c r="G13" s="37"/>
      <x:c r="H13" s="38"/>
      <x:c r="I13" s="39"/>
      <x:c r="J13" s="39"/>
      <x:c r="K13" s="39"/>
      <x:c r="L13" s="38"/>
      <x:c r="M13" s="40"/>
      <x:c r="N13" s="41"/>
      <x:c r="O13" s="38"/>
      <x:c r="P13" s="38"/>
      <x:c r="Q13" s="54"/>
      <x:c r="R13" s="54"/>
      <x:c r="S13" s="54"/>
      <x:c r="T13" s="42" t="str">
        <x:f>IF(COUNTA(G13:S13)=0,"PENDIENTE",IF(OR(G13&lt;=0,I13&lt;=0,J13&lt;=0,K13&lt;=0,M13&lt;1,N13="",O13="",P13="",Q13="",H13="",L13=""),"INCOMPLETO","LISTO PARA VISTA PREVIA"))</x:f>
        <x:v>PENDIENTE</x:v>
      </x:c>
    </x:row>
    <x:row r="14" ht="30" customHeight="1">
      <x:c r="A14" s="34" t="n">
        <x:v>13</x:v>
      </x:c>
      <x:c r="B14" s="35" t="str">
        <x:v>SKU: 1707B</x:v>
      </x:c>
      <x:c r="C14" s="35" t="str">
        <x:v>GTIN: 7709099045710</x:v>
      </x:c>
      <x:c r="D14" s="52" t="str">
        <x:v>Monocontrol Ducha Plano Negro Empotrado Mezclador para Ducha con Control de Temperatura 18 x 12 cm</x:v>
      </x:c>
      <x:c r="E14" s="52" t="str">
        <x:v>GTIN 7709099045710 · SKU 1707B</x:v>
      </x:c>
      <x:c r="F14" s="36" t="str">
        <x:v>Barú</x:v>
      </x:c>
      <x:c r="G14" s="37"/>
      <x:c r="H14" s="38"/>
      <x:c r="I14" s="39"/>
      <x:c r="J14" s="39"/>
      <x:c r="K14" s="39"/>
      <x:c r="L14" s="38"/>
      <x:c r="M14" s="40"/>
      <x:c r="N14" s="41"/>
      <x:c r="O14" s="38"/>
      <x:c r="P14" s="38"/>
      <x:c r="Q14" s="54"/>
      <x:c r="R14" s="54"/>
      <x:c r="S14" s="54"/>
      <x:c r="T14" s="42" t="str">
        <x:f>IF(COUNTA(G14:S14)=0,"PENDIENTE",IF(OR(G14&lt;=0,I14&lt;=0,J14&lt;=0,K14&lt;=0,M14&lt;1,N14="",O14="",P14="",Q14="",H14="",L14=""),"INCOMPLETO","LISTO PARA VISTA PREVIA"))</x:f>
        <x:v>PENDIENTE</x:v>
      </x:c>
    </x:row>
    <x:row r="15" ht="30" customHeight="1">
      <x:c r="A15" s="34" t="n">
        <x:v>14</x:v>
      </x:c>
      <x:c r="B15" s="35" t="str">
        <x:v>SKU: 1707G</x:v>
      </x:c>
      <x:c r="C15" s="35" t="str">
        <x:v>GTIN: 7709099045765</x:v>
      </x:c>
      <x:c r="D15" s="52" t="str">
        <x:v>Mezclador Monocontrol Ducha Empotrado Oro Brillante 18x12 cm con Manija 11 cm</x:v>
      </x:c>
      <x:c r="E15" s="52" t="str">
        <x:v>GTIN 7709099045765 · SKU 1707G</x:v>
      </x:c>
      <x:c r="F15" s="36" t="str">
        <x:v>Barú</x:v>
      </x:c>
      <x:c r="G15" s="37"/>
      <x:c r="H15" s="38"/>
      <x:c r="I15" s="39"/>
      <x:c r="J15" s="39"/>
      <x:c r="K15" s="39"/>
      <x:c r="L15" s="38"/>
      <x:c r="M15" s="40"/>
      <x:c r="N15" s="41"/>
      <x:c r="O15" s="38"/>
      <x:c r="P15" s="38"/>
      <x:c r="Q15" s="54"/>
      <x:c r="R15" s="54"/>
      <x:c r="S15" s="54"/>
      <x:c r="T15" s="42" t="str">
        <x:f>IF(COUNTA(G15:S15)=0,"PENDIENTE",IF(OR(G15&lt;=0,I15&lt;=0,J15&lt;=0,K15&lt;=0,M15&lt;1,N15="",O15="",P15="",Q15="",H15="",L15=""),"INCOMPLETO","LISTO PARA VISTA PREVIA"))</x:f>
        <x:v>PENDIENTE</x:v>
      </x:c>
    </x:row>
    <x:row r="16" ht="30" customHeight="1">
      <x:c r="A16" s="34" t="n">
        <x:v>15</x:v>
      </x:c>
      <x:c r="B16" s="35" t="str">
        <x:v>SKU: 1707R</x:v>
      </x:c>
      <x:c r="C16" s="35" t="str">
        <x:v>GTIN: 7709099045734</x:v>
      </x:c>
      <x:c r="D16" s="52" t="str">
        <x:v>Mezclador Monocontrol Ducha Plano Oro Rosa 18 x 12 cm Empotrado con Manija 11 cm</x:v>
      </x:c>
      <x:c r="E16" s="52" t="str">
        <x:v>GTIN 7709099045734 · SKU 1707R</x:v>
      </x:c>
      <x:c r="F16" s="36" t="str">
        <x:v>Barú</x:v>
      </x:c>
      <x:c r="G16" s="37"/>
      <x:c r="H16" s="38"/>
      <x:c r="I16" s="39"/>
      <x:c r="J16" s="39"/>
      <x:c r="K16" s="39"/>
      <x:c r="L16" s="38"/>
      <x:c r="M16" s="40"/>
      <x:c r="N16" s="41"/>
      <x:c r="O16" s="38"/>
      <x:c r="P16" s="38"/>
      <x:c r="Q16" s="54"/>
      <x:c r="R16" s="54"/>
      <x:c r="S16" s="54"/>
      <x:c r="T16" s="42" t="str">
        <x:f>IF(COUNTA(G16:S16)=0,"PENDIENTE",IF(OR(G16&lt;=0,I16&lt;=0,J16&lt;=0,K16&lt;=0,M16&lt;1,N16="",O16="",P16="",Q16="",H16="",L16=""),"INCOMPLETO","LISTO PARA VISTA PREVIA"))</x:f>
        <x:v>PENDIENTE</x:v>
      </x:c>
    </x:row>
    <x:row r="17" ht="30" customHeight="1">
      <x:c r="A17" s="34" t="n">
        <x:v>16</x:v>
      </x:c>
      <x:c r="B17" s="35" t="str">
        <x:v>SKU: 1807</x:v>
      </x:c>
      <x:c r="C17" s="35" t="str">
        <x:v>GTIN: 7709271884946</x:v>
      </x:c>
      <x:c r="D17" s="52" t="str">
        <x:v>Conjunto de Ducha Orca Cromado con Monocontrol, Regadera 20 × 20 cm y Brazo de 40 cm</x:v>
      </x:c>
      <x:c r="E17" s="52" t="str">
        <x:v>GTIN 7709271884946 · SKU 1807</x:v>
      </x:c>
      <x:c r="F17" s="36" t="str">
        <x:v>Barú</x:v>
      </x:c>
      <x:c r="G17" s="37"/>
      <x:c r="H17" s="38"/>
      <x:c r="I17" s="39"/>
      <x:c r="J17" s="39"/>
      <x:c r="K17" s="39"/>
      <x:c r="L17" s="38"/>
      <x:c r="M17" s="40"/>
      <x:c r="N17" s="41"/>
      <x:c r="O17" s="38"/>
      <x:c r="P17" s="38"/>
      <x:c r="Q17" s="54"/>
      <x:c r="R17" s="54"/>
      <x:c r="S17" s="54"/>
      <x:c r="T17" s="42" t="str">
        <x:f>IF(COUNTA(G17:S17)=0,"PENDIENTE",IF(OR(G17&lt;=0,I17&lt;=0,J17&lt;=0,K17&lt;=0,M17&lt;1,N17="",O17="",P17="",Q17="",H17="",L17=""),"INCOMPLETO","LISTO PARA VISTA PREVIA"))</x:f>
        <x:v>PENDIENTE</x:v>
      </x:c>
    </x:row>
    <x:row r="18" ht="30" customHeight="1">
      <x:c r="A18" s="34" t="n">
        <x:v>17</x:v>
      </x:c>
      <x:c r="B18" s="35" t="str">
        <x:v>SKU: 1807BG</x:v>
      </x:c>
      <x:c r="C18" s="35" t="str">
        <x:v>GTIN: 7709271884977</x:v>
      </x:c>
      <x:c r="D18" s="52" t="str">
        <x:v>Conjunto de Ducha Orca Oro Cepillado con Monocontrol, Regadera 20 × 20 cm y Brazo de 40 cm</x:v>
      </x:c>
      <x:c r="E18" s="52" t="str">
        <x:v>GTIN 7709271884977 · SKU 1807BG</x:v>
      </x:c>
      <x:c r="F18" s="36" t="str">
        <x:v>Barú</x:v>
      </x:c>
      <x:c r="G18" s="37"/>
      <x:c r="H18" s="38"/>
      <x:c r="I18" s="39"/>
      <x:c r="J18" s="39"/>
      <x:c r="K18" s="39"/>
      <x:c r="L18" s="38"/>
      <x:c r="M18" s="40"/>
      <x:c r="N18" s="41"/>
      <x:c r="O18" s="38"/>
      <x:c r="P18" s="38"/>
      <x:c r="Q18" s="54"/>
      <x:c r="R18" s="54"/>
      <x:c r="S18" s="54"/>
      <x:c r="T18" s="42" t="str">
        <x:f>IF(COUNTA(G18:S18)=0,"PENDIENTE",IF(OR(G18&lt;=0,I18&lt;=0,J18&lt;=0,K18&lt;=0,M18&lt;1,N18="",O18="",P18="",Q18="",H18="",L18=""),"INCOMPLETO","LISTO PARA VISTA PREVIA"))</x:f>
        <x:v>PENDIENTE</x:v>
      </x:c>
    </x:row>
    <x:row r="19" ht="30" customHeight="1">
      <x:c r="A19" s="34" t="n">
        <x:v>18</x:v>
      </x:c>
      <x:c r="B19" s="35" t="str">
        <x:v>SKU: 1807G</x:v>
      </x:c>
      <x:c r="C19" s="35" t="str">
        <x:v>GTIN: 7709404228043</x:v>
      </x:c>
      <x:c r="D19" s="52" t="str">
        <x:v>Conjunto de Ducha Oro Brillante con Monocontrol, Regadera 20 × 20 cm y Brazo de 40 cm</x:v>
      </x:c>
      <x:c r="E19" s="52" t="str">
        <x:v>GTIN 7709404228043 · SKU 1807G</x:v>
      </x:c>
      <x:c r="F19" s="36" t="str">
        <x:v>Barú</x:v>
      </x:c>
      <x:c r="G19" s="37"/>
      <x:c r="H19" s="38"/>
      <x:c r="I19" s="39"/>
      <x:c r="J19" s="39"/>
      <x:c r="K19" s="39"/>
      <x:c r="L19" s="38"/>
      <x:c r="M19" s="40"/>
      <x:c r="N19" s="41"/>
      <x:c r="O19" s="38"/>
      <x:c r="P19" s="38"/>
      <x:c r="Q19" s="54"/>
      <x:c r="R19" s="54"/>
      <x:c r="S19" s="54"/>
      <x:c r="T19" s="42" t="str">
        <x:f>IF(COUNTA(G19:S19)=0,"PENDIENTE",IF(OR(G19&lt;=0,I19&lt;=0,J19&lt;=0,K19&lt;=0,M19&lt;1,N19="",O19="",P19="",Q19="",H19="",L19=""),"INCOMPLETO","LISTO PARA VISTA PREVIA"))</x:f>
        <x:v>PENDIENTE</x:v>
      </x:c>
    </x:row>
    <x:row r="20" ht="30" customHeight="1">
      <x:c r="A20" s="34" t="n">
        <x:v>19</x:v>
      </x:c>
      <x:c r="B20" s="35" t="str">
        <x:v>SKU: 1807P</x:v>
      </x:c>
      <x:c r="C20" s="35" t="str">
        <x:v>GTIN: 7709271884984</x:v>
      </x:c>
      <x:c r="D20" s="52" t="str">
        <x:v>Conjunto de Ducha Orca Oro Rosa con Monocontrol, Regadera 20 x 20 cm y Brazo de 40 cm</x:v>
      </x:c>
      <x:c r="E20" s="52" t="str">
        <x:v>GTIN 7709271884984 · SKU 1807P</x:v>
      </x:c>
      <x:c r="F20" s="36" t="str">
        <x:v>Barú</x:v>
      </x:c>
      <x:c r="G20" s="37"/>
      <x:c r="H20" s="38"/>
      <x:c r="I20" s="39"/>
      <x:c r="J20" s="39"/>
      <x:c r="K20" s="39"/>
      <x:c r="L20" s="38"/>
      <x:c r="M20" s="40"/>
      <x:c r="N20" s="41"/>
      <x:c r="O20" s="38"/>
      <x:c r="P20" s="38"/>
      <x:c r="Q20" s="54"/>
      <x:c r="R20" s="54"/>
      <x:c r="S20" s="54"/>
      <x:c r="T20" s="42" t="str">
        <x:f>IF(COUNTA(G20:S20)=0,"PENDIENTE",IF(OR(G20&lt;=0,I20&lt;=0,J20&lt;=0,K20&lt;=0,M20&lt;1,N20="",O20="",P20="",Q20="",H20="",L20=""),"INCOMPLETO","LISTO PARA VISTA PREVIA"))</x:f>
        <x:v>PENDIENTE</x:v>
      </x:c>
    </x:row>
    <x:row r="21" ht="30" customHeight="1">
      <x:c r="A21" s="34" t="n">
        <x:v>20</x:v>
      </x:c>
      <x:c r="B21" s="35" t="str">
        <x:v>SKU: 1807S</x:v>
      </x:c>
      <x:c r="C21" s="35" t="str">
        <x:v>GTIN: 7709198543773</x:v>
      </x:c>
      <x:c r="D21" s="52" t="str">
        <x:v>Conjunto de Ducha Orca Satín con Monocontrol, Regadera Gruesa de 8 Pulgadas y Brazo de 40 cm</x:v>
      </x:c>
      <x:c r="E21" s="52" t="str">
        <x:v>GTIN 7709198543773 · SKU 1807S</x:v>
      </x:c>
      <x:c r="F21" s="36" t="str">
        <x:v>Barú</x:v>
      </x:c>
      <x:c r="G21" s="37"/>
      <x:c r="H21" s="38"/>
      <x:c r="I21" s="39"/>
      <x:c r="J21" s="39"/>
      <x:c r="K21" s="39"/>
      <x:c r="L21" s="38"/>
      <x:c r="M21" s="40"/>
      <x:c r="N21" s="41"/>
      <x:c r="O21" s="38"/>
      <x:c r="P21" s="38"/>
      <x:c r="Q21" s="54"/>
      <x:c r="R21" s="54"/>
      <x:c r="S21" s="54"/>
      <x:c r="T21" s="42" t="str">
        <x:f>IF(COUNTA(G21:S21)=0,"PENDIENTE",IF(OR(G21&lt;=0,I21&lt;=0,J21&lt;=0,K21&lt;=0,M21&lt;1,N21="",O21="",P21="",Q21="",H21="",L21=""),"INCOMPLETO","LISTO PARA VISTA PREVIA"))</x:f>
        <x:v>PENDIENTE</x:v>
      </x:c>
    </x:row>
    <x:row r="22" ht="30" customHeight="1">
      <x:c r="A22" s="34" t="n">
        <x:v>21</x:v>
      </x:c>
      <x:c r="B22" s="35" t="str">
        <x:v>SKU: 214</x:v>
      </x:c>
      <x:c r="C22" s="35" t="str">
        <x:v>GTIN: 7709687347011</x:v>
      </x:c>
      <x:c r="D22" s="52" t="str">
        <x:v>Lavamanos Sobreponer Rectangular 400*300*130 Blanco</x:v>
      </x:c>
      <x:c r="E22" s="52" t="str">
        <x:v>GTIN 7709687347011 · SKU 214</x:v>
      </x:c>
      <x:c r="F22" s="36" t="str">
        <x:v>Barú</x:v>
      </x:c>
      <x:c r="G22" s="37"/>
      <x:c r="H22" s="38"/>
      <x:c r="I22" s="39"/>
      <x:c r="J22" s="39"/>
      <x:c r="K22" s="39"/>
      <x:c r="L22" s="38"/>
      <x:c r="M22" s="40"/>
      <x:c r="N22" s="41"/>
      <x:c r="O22" s="38"/>
      <x:c r="P22" s="38"/>
      <x:c r="Q22" s="54"/>
      <x:c r="R22" s="54"/>
      <x:c r="S22" s="54"/>
      <x:c r="T22" s="42" t="str">
        <x:f>IF(COUNTA(G22:S22)=0,"PENDIENTE",IF(OR(G22&lt;=0,I22&lt;=0,J22&lt;=0,K22&lt;=0,M22&lt;1,N22="",O22="",P22="",Q22="",H22="",L22=""),"INCOMPLETO","LISTO PARA VISTA PREVIA"))</x:f>
        <x:v>PENDIENTE</x:v>
      </x:c>
    </x:row>
    <x:row r="23" ht="30" customHeight="1">
      <x:c r="A23" s="34" t="n">
        <x:v>22</x:v>
      </x:c>
      <x:c r="B23" s="35" t="str">
        <x:v>SKU: 216X</x:v>
      </x:c>
      <x:c r="C23" s="35" t="str">
        <x:v>GTIN: 7708909372336</x:v>
      </x:c>
      <x:c r="D23" s="52" t="str">
        <x:v>Lavamanos de Sobreponer Pilot Blanco en Porcelana 42,5 × 42,5 × 18 cm</x:v>
      </x:c>
      <x:c r="E23" s="52" t="str">
        <x:v>GTIN 7708909372336 · SKU 216X</x:v>
      </x:c>
      <x:c r="F23" s="36" t="str">
        <x:v>Barú</x:v>
      </x:c>
      <x:c r="G23" s="37"/>
      <x:c r="H23" s="38"/>
      <x:c r="I23" s="39"/>
      <x:c r="J23" s="39"/>
      <x:c r="K23" s="39"/>
      <x:c r="L23" s="38"/>
      <x:c r="M23" s="40"/>
      <x:c r="N23" s="41"/>
      <x:c r="O23" s="38"/>
      <x:c r="P23" s="38"/>
      <x:c r="Q23" s="54"/>
      <x:c r="R23" s="54"/>
      <x:c r="S23" s="54"/>
      <x:c r="T23" s="42" t="str">
        <x:f>IF(COUNTA(G23:S23)=0,"PENDIENTE",IF(OR(G23&lt;=0,I23&lt;=0,J23&lt;=0,K23&lt;=0,M23&lt;1,N23="",O23="",P23="",Q23="",H23="",L23=""),"INCOMPLETO","LISTO PARA VISTA PREVIA"))</x:f>
        <x:v>PENDIENTE</x:v>
      </x:c>
    </x:row>
    <x:row r="24" ht="30" customHeight="1">
      <x:c r="A24" s="34" t="n">
        <x:v>23</x:v>
      </x:c>
      <x:c r="B24" s="35" t="str">
        <x:v>SKU: 21A</x:v>
      </x:c>
      <x:c r="C24" s="35" t="str">
        <x:v>GTIN: 7709620674402</x:v>
      </x:c>
      <x:c r="D24" s="52" t="str">
        <x:v>Lavamanos Vessel Alpha 36x36x12 Negro y Plateado Premium | Lavabo Sobreponer Moderno para Baño Elegante</x:v>
      </x:c>
      <x:c r="E24" s="52" t="str">
        <x:v>GTIN 7709620674402 · SKU 21A</x:v>
      </x:c>
      <x:c r="F24" s="36" t="str">
        <x:v>Barú</x:v>
      </x:c>
      <x:c r="G24" s="37"/>
      <x:c r="H24" s="38"/>
      <x:c r="I24" s="39"/>
      <x:c r="J24" s="39"/>
      <x:c r="K24" s="39"/>
      <x:c r="L24" s="38"/>
      <x:c r="M24" s="40"/>
      <x:c r="N24" s="41"/>
      <x:c r="O24" s="38"/>
      <x:c r="P24" s="38"/>
      <x:c r="Q24" s="54"/>
      <x:c r="R24" s="54"/>
      <x:c r="S24" s="54"/>
      <x:c r="T24" s="42" t="str">
        <x:f>IF(COUNTA(G24:S24)=0,"PENDIENTE",IF(OR(G24&lt;=0,I24&lt;=0,J24&lt;=0,K24&lt;=0,M24&lt;1,N24="",O24="",P24="",Q24="",H24="",L24=""),"INCOMPLETO","LISTO PARA VISTA PREVIA"))</x:f>
        <x:v>PENDIENTE</x:v>
      </x:c>
    </x:row>
    <x:row r="25" ht="30" customHeight="1">
      <x:c r="A25" s="34" t="n">
        <x:v>24</x:v>
      </x:c>
      <x:c r="B25" s="35" t="str">
        <x:v>SKU: 230GM</x:v>
      </x:c>
      <x:c r="C25" s="35" t="str">
        <x:v>GTIN: 7709486101975</x:v>
      </x:c>
      <x:c r="D25" s="52" t="str">
        <x:v>Grifería Alta Monocontrol Boston Gris Mate Texturizada 29 cm para Lavamanos</x:v>
      </x:c>
      <x:c r="E25" s="52" t="str">
        <x:v>GTIN 7709486101975 · SKU 230GM</x:v>
      </x:c>
      <x:c r="F25" s="36" t="str">
        <x:v>Barú</x:v>
      </x:c>
      <x:c r="G25" s="37"/>
      <x:c r="H25" s="38"/>
      <x:c r="I25" s="39"/>
      <x:c r="J25" s="39"/>
      <x:c r="K25" s="39"/>
      <x:c r="L25" s="38"/>
      <x:c r="M25" s="40"/>
      <x:c r="N25" s="41"/>
      <x:c r="O25" s="38"/>
      <x:c r="P25" s="38"/>
      <x:c r="Q25" s="54"/>
      <x:c r="R25" s="54"/>
      <x:c r="S25" s="54"/>
      <x:c r="T25" s="42" t="str">
        <x:f>IF(COUNTA(G25:S25)=0,"PENDIENTE",IF(OR(G25&lt;=0,I25&lt;=0,J25&lt;=0,K25&lt;=0,M25&lt;1,N25="",O25="",P25="",Q25="",H25="",L25=""),"INCOMPLETO","LISTO PARA VISTA PREVIA"))</x:f>
        <x:v>PENDIENTE</x:v>
      </x:c>
    </x:row>
    <x:row r="26" ht="30" customHeight="1">
      <x:c r="A26" s="43" t="n">
        <x:v>25</x:v>
      </x:c>
      <x:c r="B26" s="44" t="str">
        <x:v>SKU: 2700</x:v>
      </x:c>
      <x:c r="C26" s="44" t="str">
        <x:v>GTIN: 7709249290250</x:v>
      </x:c>
      <x:c r="D26" s="53" t="str">
        <x:v>Torre Ducha Satinada Hidromasaje con Teleducha</x:v>
      </x:c>
      <x:c r="E26" s="53" t="str">
        <x:v>GTIN 7709249290250 · SKU 2700</x:v>
      </x:c>
      <x:c r="F26" s="45" t="str">
        <x:v>Barú</x:v>
      </x:c>
      <x:c r="G26" s="46"/>
      <x:c r="H26" s="47"/>
      <x:c r="I26" s="48"/>
      <x:c r="J26" s="48"/>
      <x:c r="K26" s="48"/>
      <x:c r="L26" s="47"/>
      <x:c r="M26" s="49"/>
      <x:c r="N26" s="50"/>
      <x:c r="O26" s="47"/>
      <x:c r="P26" s="47"/>
      <x:c r="Q26" s="55"/>
      <x:c r="R26" s="55"/>
      <x:c r="S26" s="55"/>
      <x:c r="T26" s="51" t="str">
        <x:f>IF(COUNTA(G26:S26)=0,"PENDIENTE",IF(OR(G26&lt;=0,I26&lt;=0,J26&lt;=0,K26&lt;=0,M26&lt;1,N26="",O26="",P26="",Q26="",H26="",L26=""),"INCOMPLETO","LISTO PARA VISTA PREVIA"))</x:f>
        <x:v>PENDIENTE</x:v>
      </x:c>
    </x:row>
  </x:sheetData>
  <x:conditionalFormatting sqref="T2:T26">
    <x:cfRule type="containsText" dxfId="0" priority="1" operator="containsText" text="LISTO"/>
    <x:cfRule type="containsText" dxfId="1" priority="2" operator="containsText" text="INCOMPLETO"/>
    <x:cfRule type="containsText" dxfId="2" priority="3" operator="containsText" text="PENDIENTE"/>
  </x:conditionalFormatting>
  <x:dataValidations count="4">
    <x:dataValidation type="list" sqref="H2:H26">
      <x:formula1>"KG,G,LB,OZ"</x:formula1>
    </x:dataValidation>
    <x:dataValidation type="list" sqref="L2:L26">
      <x:formula1>"CM,MM,M,IN"</x:formula1>
    </x:dataValidation>
    <x:dataValidation type="list" sqref="P2:P26">
      <x:formula1>"PROVEEDOR_EXACTO,MEDICION_FISICA,DEMO_NO_CONFIRMADO"</x:formula1>
    </x:dataValidation>
    <x:dataValidation type="whole" operator="between" sqref="M2:M26">
      <x:formula1>1</x:formula1>
      <x:formula2>20</x:formula2>
    </x:dataValidation>
  </x:dataValidations>
  <x:pageMargins left="0.7" right="0.7" top="0.75" bottom="0.75" header="0.3" footer="0.3"/>
  <x:legacyDrawing xmlns:r="http://schemas.openxmlformats.org/officeDocument/2006/relationships" r:id="Rf7c0fb6d4d024ec2"/>
  <x:tableParts count="1">
    <x:tablePart xmlns:r="http://schemas.openxmlformats.org/officeDocument/2006/relationships" r:id="R10d5a46985d643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1" ht="42" customHeight="1">
      <x:c r="A1" s="57" t="str">
        <x:v>Barú · captura confiable de peso y dimensiones del paquete</x:v>
      </x:c>
      <x:c r="B1" s="57"/>
      <x:c r="C1" s="57"/>
      <x:c r="D1" s="57"/>
      <x:c r="E1" s="57"/>
      <x:c r="F1" s="57"/>
      <x:c r="G1" s="57"/>
      <x:c r="H1" s="57"/>
    </x:row>
    <x:row r="3">
      <x:c r="A3" s="63" t="str">
        <x:v>Paso</x:v>
      </x:c>
      <x:c r="B3" s="64" t="str">
        <x:v>Instrucción</x:v>
      </x:c>
    </x:row>
    <x:row r="4" ht="36" customHeight="1">
      <x:c r="A4" s="65" t="n">
        <x:v>1</x:v>
      </x:c>
      <x:c r="B4" s="66" t="str">
        <x:v>Trabaje únicamente sobre el producto exacto identificado por SKU y GTIN.</x:v>
      </x:c>
    </x:row>
    <x:row r="5" ht="36" customHeight="1">
      <x:c r="A5" s="65" t="n">
        <x:v>2</x:v>
      </x:c>
      <x:c r="B5" s="66" t="str">
        <x:v>Pese el producto ya empacado para transporte. No use el peso del producto desnudo.</x:v>
      </x:c>
    </x:row>
    <x:row r="6" ht="36" customHeight="1">
      <x:c r="A6" s="65" t="n">
        <x:v>3</x:v>
      </x:c>
      <x:c r="B6" s="66" t="str">
        <x:v>Mida largo, ancho y alto exteriores del paquete terminado.</x:v>
      </x:c>
    </x:row>
    <x:row r="7" ht="36" customHeight="1">
      <x:c r="A7" s="65" t="n">
        <x:v>4</x:v>
      </x:c>
      <x:c r="B7" s="66" t="str">
        <x:v>Si hay varios bultos, registre la cantidad y explique en Observaciones. Esta plantilla captura el conjunto; un flujo multibulto detallado requerirá una fila por bulto en una versión posterior.</x:v>
      </x:c>
    </x:row>
    <x:row r="8" ht="36" customHeight="1">
      <x:c r="A8" s="65" t="n">
        <x:v>5</x:v>
      </x:c>
      <x:c r="B8" s="66" t="str">
        <x:v>Use KG/G/LB/OZ para peso y CM/MM/M/IN para dimensiones.</x:v>
      </x:c>
    </x:row>
    <x:row r="9" ht="36" customHeight="1">
      <x:c r="A9" s="65" t="n">
        <x:v>6</x:v>
      </x:c>
      <x:c r="B9" s="66" t="str">
        <x:v>PROVEEDOR_EXACTO: ficha o dato emitido por Barú para el SKU exacto.</x:v>
      </x:c>
    </x:row>
    <x:row r="10" ht="36" customHeight="1">
      <x:c r="A10" s="65" t="n">
        <x:v>7</x:v>
      </x:c>
      <x:c r="B10" s="66" t="str">
        <x:v>MEDICION_FISICA: medición realizada por un responsable identificado, con fecha y referencia de evidencia.</x:v>
      </x:c>
    </x:row>
    <x:row r="11" ht="36" customHeight="1">
      <x:c r="A11" s="65" t="n">
        <x:v>8</x:v>
      </x:c>
      <x:c r="B11" s="66" t="str">
        <x:v>DEMO_NO_CONFIRMADO: solo prueba del flujo; nunca habilita envío ni actualización Shopify.</x:v>
      </x:c>
    </x:row>
    <x:row r="12" ht="36" customHeight="1">
      <x:c r="A12" s="65" t="n">
        <x:v>9</x:v>
      </x:c>
      <x:c r="B12" s="66" t="str">
        <x:v>No escriba cero. Si un dato falta, deje la celda vacía y la fila permanecerá bloqueada.</x:v>
      </x:c>
    </x:row>
    <x:row r="13" ht="36" customHeight="1">
      <x:c r="A13" s="65" t="n">
        <x:v>10</x:v>
      </x:c>
      <x:c r="B13" s="66" t="str">
        <x:v>La foto es opcional, pero la fuente/referencia, fecha y responsable son obligatorios.</x:v>
      </x:c>
    </x:row>
    <x:row r="14" ht="36" customHeight="1">
      <x:c r="A14" s="65" t="n">
        <x:v>11</x:v>
      </x:c>
      <x:c r="B14" s="66" t="str">
        <x:v>Merci importará primero una vista previa. La aprobación humana y cualquier futura escritura externa son pasos separados.</x:v>
      </x:c>
    </x:row>
    <x:row r="15" ht="36" customHeight="1">
      <x:c r="A15" s="67" t="n">
        <x:v>12</x:v>
      </x:c>
      <x:c r="B15" s="68" t="str">
        <x:v>No cambie SKU, GTIN ni proveedor. Si detecta un error de identidad, repórtelo en Observaciones.</x:v>
      </x:c>
    </x:row>
  </x:sheetData>
  <x:mergeCells>
    <x:mergeCell ref="A1:H1"/>
  </x:mergeCells>
  <x:pageMargins left="0.7" right="0.7" top="0.75" bottom="0.75" header="0.3" footer="0.3"/>
</x:worksheet>
</file>